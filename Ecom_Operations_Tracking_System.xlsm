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xl/styles.xml" ContentType="application/vnd.openxmlformats-officedocument.spreadsheetml.styles+xml"/>
  <Override PartName="/xl/theme/theme1.xml" ContentType="application/vnd.openxmlformats-officedocument.theme+xml"/>
  <Override PartName="/xl/workbook.xml" ContentType="application/vnd.openxmlformats-officedocument.spreadsheetml.sheet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sharedStrings.xml" ContentType="application/vnd.openxmlformats-officedocument.spreadsheetml.sharedStrings+xml"/>
</Types>
</file>

<file path=_rels/.rels><?xml version="1.0" encoding="UTF-8" standalone="yes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/>
  <workbookPr defaultThemeVersion="124226"/>
  <bookViews>
    <workbookView xWindow="240" yWindow="15" windowWidth="16095" windowHeight="9660"/>
  </bookViews>
  <sheets>
    <sheet name="Dashboard" sheetId="1" r:id="rId1"/>
    <sheet name="Bash Queries Response" sheetId="2" r:id="rId2"/>
    <sheet name="Wave Tracking" sheetId="3" r:id="rId3"/>
    <sheet name="Employee Training" sheetId="4" r:id="rId4"/>
    <sheet name="Stock Replenishment" sheetId="5" r:id="rId5"/>
    <sheet name="Quality Audit" sheetId="6" r:id="rId6"/>
    <sheet name="Picking Tasks" sheetId="7" r:id="rId7"/>
    <sheet name="Order Volumes" sheetId="8" r:id="rId8"/>
    <sheet name="Employee Performance" sheetId="9" r:id="rId9"/>
    <sheet name="Inventory Mismatch" sheetId="10" r:id="rId10"/>
    <sheet name="System Errors" sheetId="11" r:id="rId11"/>
    <sheet name="Insights &amp; Analytics" sheetId="12" r:id="rId12"/>
  </sheets>
  <calcPr calcId="124519" fullCalcOnLoad="1"/>
</workbook>
</file>

<file path=xl/sharedStrings.xml><?xml version="1.0" encoding="utf-8"?>
<sst xmlns="http://schemas.openxmlformats.org/spreadsheetml/2006/main" count="505" uniqueCount="357">
  <si>
    <t>E-COMMERCE OPERATIONS DASHBOARD</t>
  </si>
  <si>
    <t>Generated: 2025-10-06 12:18:05</t>
  </si>
  <si>
    <t>KEY PERFORMANCE INDICATORS</t>
  </si>
  <si>
    <t>Metric</t>
  </si>
  <si>
    <t>Target</t>
  </si>
  <si>
    <t>Current</t>
  </si>
  <si>
    <t>Status</t>
  </si>
  <si>
    <t>Last Updated</t>
  </si>
  <si>
    <t>Wave Completion (1 hour)</t>
  </si>
  <si>
    <t>100%</t>
  </si>
  <si>
    <t>2025-10-06 12:18</t>
  </si>
  <si>
    <t>Employee Training Completion</t>
  </si>
  <si>
    <t>Picking Within Hours Target</t>
  </si>
  <si>
    <t>95%</t>
  </si>
  <si>
    <t>Quality Audit Coverage</t>
  </si>
  <si>
    <t>&gt;5%</t>
  </si>
  <si>
    <t>Open System Errors</t>
  </si>
  <si>
    <t>0</t>
  </si>
  <si>
    <t>Inventory Mismatches</t>
  </si>
  <si>
    <t>SLA Compliance Rate</t>
  </si>
  <si>
    <t>&gt;98%</t>
  </si>
  <si>
    <t>98.5%</t>
  </si>
  <si>
    <t>ON TARGET</t>
  </si>
  <si>
    <t>MONITORING AREAS</t>
  </si>
  <si>
    <t>• Bash Queries Response - Track customer order queries</t>
  </si>
  <si>
    <t>• Wave Tracking - Monitor wave completion status</t>
  </si>
  <si>
    <t>• Employee Training - Track training completion</t>
  </si>
  <si>
    <t>• Stock Replenishment - Monitor stock refill times</t>
  </si>
  <si>
    <t>• Quality Audit - Track quality checks and rechecks</t>
  </si>
  <si>
    <t>• Picking Tasks - Monitor picking efficiency</t>
  </si>
  <si>
    <t>• Order Volumes - Track daily order volumes</t>
  </si>
  <si>
    <t>• Employee Performance - Monitor staff performance</t>
  </si>
  <si>
    <t>• Inventory Mismatch - Track inventory discrepancies</t>
  </si>
  <si>
    <t>• System Errors - Log and track system issues</t>
  </si>
  <si>
    <t>BASH QUERIES - CUSTOMER ORDER RESPONSES</t>
  </si>
  <si>
    <t>Query ID</t>
  </si>
  <si>
    <t>Date/Time</t>
  </si>
  <si>
    <t>Customer Name</t>
  </si>
  <si>
    <t>Order ID</t>
  </si>
  <si>
    <t>Query Type</t>
  </si>
  <si>
    <t>Query Details</t>
  </si>
  <si>
    <t>Response</t>
  </si>
  <si>
    <t>Responded By</t>
  </si>
  <si>
    <t>Response Time (mins)</t>
  </si>
  <si>
    <t>Q001</t>
  </si>
  <si>
    <t>John Doe</t>
  </si>
  <si>
    <t>ORD-10001</t>
  </si>
  <si>
    <t>Order Status</t>
  </si>
  <si>
    <t>Where is my order?</t>
  </si>
  <si>
    <t>RESPONDED</t>
  </si>
  <si>
    <t>Order is in picking stage</t>
  </si>
  <si>
    <t>Agent A</t>
  </si>
  <si>
    <t>5</t>
  </si>
  <si>
    <t>Q002</t>
  </si>
  <si>
    <t>Jane Smith</t>
  </si>
  <si>
    <t>ORD-10002</t>
  </si>
  <si>
    <t>Delivery Time</t>
  </si>
  <si>
    <t>When will order arrive?</t>
  </si>
  <si>
    <t>Expected delivery tomorrow</t>
  </si>
  <si>
    <t>Agent B</t>
  </si>
  <si>
    <t>3</t>
  </si>
  <si>
    <t>Q003</t>
  </si>
  <si>
    <t>Mike Johnson</t>
  </si>
  <si>
    <t>ORD-10003</t>
  </si>
  <si>
    <t>Order Issue</t>
  </si>
  <si>
    <t>Wrong item received</t>
  </si>
  <si>
    <t>IN PROGRESS</t>
  </si>
  <si>
    <t>Investigating with warehouse</t>
  </si>
  <si>
    <t>WAVE TRACKING - COMPLETION STATUS</t>
  </si>
  <si>
    <t>Wave ID</t>
  </si>
  <si>
    <t>Date</t>
  </si>
  <si>
    <t>Start Time</t>
  </si>
  <si>
    <t>Expected Completion</t>
  </si>
  <si>
    <t>Actual Completion</t>
  </si>
  <si>
    <t>Orders Count</t>
  </si>
  <si>
    <t>Completion Time (mins)</t>
  </si>
  <si>
    <t>Notes</t>
  </si>
  <si>
    <t>WAVE-001</t>
  </si>
  <si>
    <t>2025-10-06</t>
  </si>
  <si>
    <t>08:00</t>
  </si>
  <si>
    <t>09:00</t>
  </si>
  <si>
    <t>08:55</t>
  </si>
  <si>
    <t>COMPLETED</t>
  </si>
  <si>
    <t>150</t>
  </si>
  <si>
    <t>55</t>
  </si>
  <si>
    <t>On time</t>
  </si>
  <si>
    <t>WAVE-002</t>
  </si>
  <si>
    <t>10:00</t>
  </si>
  <si>
    <t>10:05</t>
  </si>
  <si>
    <t>145</t>
  </si>
  <si>
    <t>65</t>
  </si>
  <si>
    <t>Slight delay</t>
  </si>
  <si>
    <t>WAVE-003</t>
  </si>
  <si>
    <t>11:00</t>
  </si>
  <si>
    <t>160</t>
  </si>
  <si>
    <t>EMPLOYEE TRAINING RECORDS</t>
  </si>
  <si>
    <t>Employee ID</t>
  </si>
  <si>
    <t>Employee Name</t>
  </si>
  <si>
    <t>Department</t>
  </si>
  <si>
    <t>Training Type</t>
  </si>
  <si>
    <t>Scheduled Date</t>
  </si>
  <si>
    <t>Completion Date</t>
  </si>
  <si>
    <t>Score/Result</t>
  </si>
  <si>
    <t>Trainer</t>
  </si>
  <si>
    <t>EMP001</t>
  </si>
  <si>
    <t>John Smith</t>
  </si>
  <si>
    <t>Warehouse</t>
  </si>
  <si>
    <t>Picking Training</t>
  </si>
  <si>
    <t>2024-01-15</t>
  </si>
  <si>
    <t>Trainer A</t>
  </si>
  <si>
    <t>Excellent</t>
  </si>
  <si>
    <t>EMP002</t>
  </si>
  <si>
    <t>Sarah Wilson</t>
  </si>
  <si>
    <t>Quality Audit</t>
  </si>
  <si>
    <t>2024-01-16</t>
  </si>
  <si>
    <t>88%</t>
  </si>
  <si>
    <t>Trainer B</t>
  </si>
  <si>
    <t>Good</t>
  </si>
  <si>
    <t>EMP003</t>
  </si>
  <si>
    <t>Mike Brown</t>
  </si>
  <si>
    <t>Safety Training</t>
  </si>
  <si>
    <t>2024-01-20</t>
  </si>
  <si>
    <t>SCHEDULED</t>
  </si>
  <si>
    <t>EMP004</t>
  </si>
  <si>
    <t>Lisa Davis</t>
  </si>
  <si>
    <t>Packing</t>
  </si>
  <si>
    <t>Packing Standards</t>
  </si>
  <si>
    <t>2024-01-18</t>
  </si>
  <si>
    <t>92%</t>
  </si>
  <si>
    <t>Trainer C</t>
  </si>
  <si>
    <t>Very good</t>
  </si>
  <si>
    <t>STOCK REPLENISHMENT MONITORING</t>
  </si>
  <si>
    <t>Replenishment ID</t>
  </si>
  <si>
    <t>Item SKU</t>
  </si>
  <si>
    <t>Item Name</t>
  </si>
  <si>
    <t>Current Stock</t>
  </si>
  <si>
    <t>Reorder Point</t>
  </si>
  <si>
    <t>Quantity Ordered</t>
  </si>
  <si>
    <t>Request Time</t>
  </si>
  <si>
    <t>Completion Time</t>
  </si>
  <si>
    <t>Duration (hours)</t>
  </si>
  <si>
    <t>REP-001</t>
  </si>
  <si>
    <t>SKU-1001</t>
  </si>
  <si>
    <t>Widget A</t>
  </si>
  <si>
    <t>50</t>
  </si>
  <si>
    <t>100</t>
  </si>
  <si>
    <t>500</t>
  </si>
  <si>
    <t>2025-10-06 09:18</t>
  </si>
  <si>
    <t>2025-10-06 11:18</t>
  </si>
  <si>
    <t>2.0</t>
  </si>
  <si>
    <t>REP-002</t>
  </si>
  <si>
    <t>SKU-1002</t>
  </si>
  <si>
    <t>Widget B</t>
  </si>
  <si>
    <t>25</t>
  </si>
  <si>
    <t>750</t>
  </si>
  <si>
    <t>2025-10-06 07:18</t>
  </si>
  <si>
    <t>5.0</t>
  </si>
  <si>
    <t>Delayed - investigate</t>
  </si>
  <si>
    <t>REP-003</t>
  </si>
  <si>
    <t>SKU-1003</t>
  </si>
  <si>
    <t>Widget C</t>
  </si>
  <si>
    <t>10</t>
  </si>
  <si>
    <t>1000</t>
  </si>
  <si>
    <t>2025-10-06 10:18</t>
  </si>
  <si>
    <t>Urgent</t>
  </si>
  <si>
    <t>QUALITY AUDIT TRACKING (Target: &gt;5% Diversion)</t>
  </si>
  <si>
    <t>Audit ID</t>
  </si>
  <si>
    <t>Audit Type</t>
  </si>
  <si>
    <t>Result</t>
  </si>
  <si>
    <t>Issue Found</t>
  </si>
  <si>
    <t>Action Taken</t>
  </si>
  <si>
    <t>Audited By</t>
  </si>
  <si>
    <t>Recheck Required</t>
  </si>
  <si>
    <t>STATISTICS:</t>
  </si>
  <si>
    <t>Total Orders Today:</t>
  </si>
  <si>
    <t>Audited (Current %):</t>
  </si>
  <si>
    <t>Audit %:</t>
  </si>
  <si>
    <t>Target: &gt;5%</t>
  </si>
  <si>
    <t>AUD-001</t>
  </si>
  <si>
    <t>Random Check</t>
  </si>
  <si>
    <t>PASS</t>
  </si>
  <si>
    <t>None</t>
  </si>
  <si>
    <t>QA Team A</t>
  </si>
  <si>
    <t>NO</t>
  </si>
  <si>
    <t>AUD-002</t>
  </si>
  <si>
    <t>ORD-10015</t>
  </si>
  <si>
    <t>FAIL</t>
  </si>
  <si>
    <t>Wrong quantity</t>
  </si>
  <si>
    <t>Repack ordered</t>
  </si>
  <si>
    <t>QA Team B</t>
  </si>
  <si>
    <t>YES</t>
  </si>
  <si>
    <t>Critical</t>
  </si>
  <si>
    <t>AUD-003</t>
  </si>
  <si>
    <t>ORD-10025</t>
  </si>
  <si>
    <t>AUD-004</t>
  </si>
  <si>
    <t>ORD-10042</t>
  </si>
  <si>
    <t>SKU-1004</t>
  </si>
  <si>
    <t>Targeted Check</t>
  </si>
  <si>
    <t>Damaged item</t>
  </si>
  <si>
    <t>Item replaced</t>
  </si>
  <si>
    <t>QA Team C</t>
  </si>
  <si>
    <t>Minor damage</t>
  </si>
  <si>
    <t>PICKING TASK MONITORING</t>
  </si>
  <si>
    <t>Task ID</t>
  </si>
  <si>
    <t>Picker ID</t>
  </si>
  <si>
    <t>End Time</t>
  </si>
  <si>
    <t>Duration (mins)</t>
  </si>
  <si>
    <t>Items Count</t>
  </si>
  <si>
    <t>PICK-001</t>
  </si>
  <si>
    <t>08:15</t>
  </si>
  <si>
    <t>15</t>
  </si>
  <si>
    <t>PICK-002</t>
  </si>
  <si>
    <t>08:05</t>
  </si>
  <si>
    <t>08:25</t>
  </si>
  <si>
    <t>20</t>
  </si>
  <si>
    <t>8</t>
  </si>
  <si>
    <t>PICK-003</t>
  </si>
  <si>
    <t>09:30</t>
  </si>
  <si>
    <t>30</t>
  </si>
  <si>
    <t>12</t>
  </si>
  <si>
    <t>PICK-004</t>
  </si>
  <si>
    <t>ORD-10004</t>
  </si>
  <si>
    <t>6</t>
  </si>
  <si>
    <t>ORDER VOLUMES MONITORING</t>
  </si>
  <si>
    <t>Total Orders</t>
  </si>
  <si>
    <t>Orders Picked</t>
  </si>
  <si>
    <t>Orders Packed</t>
  </si>
  <si>
    <t>Orders Shipped</t>
  </si>
  <si>
    <t>Pending Orders</t>
  </si>
  <si>
    <t>Cancelled Orders</t>
  </si>
  <si>
    <t>Average Processing Time (hrs)</t>
  </si>
  <si>
    <t>2025-09-29</t>
  </si>
  <si>
    <t>Normal operations</t>
  </si>
  <si>
    <t>2025-09-30</t>
  </si>
  <si>
    <t>2025-10-01</t>
  </si>
  <si>
    <t>2025-10-02</t>
  </si>
  <si>
    <t>2025-10-03</t>
  </si>
  <si>
    <t>2025-10-04</t>
  </si>
  <si>
    <t>2025-10-05</t>
  </si>
  <si>
    <t>EMPLOYEE PERFORMANCE METRICS</t>
  </si>
  <si>
    <t>Tasks Completed</t>
  </si>
  <si>
    <t>Average Time (mins)</t>
  </si>
  <si>
    <t>Accuracy %</t>
  </si>
  <si>
    <t>Training Status</t>
  </si>
  <si>
    <t>Performance Rating</t>
  </si>
  <si>
    <t>Improvement Areas</t>
  </si>
  <si>
    <t>Picking</t>
  </si>
  <si>
    <t>45</t>
  </si>
  <si>
    <t>18</t>
  </si>
  <si>
    <t>98%</t>
  </si>
  <si>
    <t>EXCELLENT</t>
  </si>
  <si>
    <t>Top performer</t>
  </si>
  <si>
    <t>42</t>
  </si>
  <si>
    <t>96%</t>
  </si>
  <si>
    <t>GOOD</t>
  </si>
  <si>
    <t>Speed</t>
  </si>
  <si>
    <t>Consistent</t>
  </si>
  <si>
    <t>38</t>
  </si>
  <si>
    <t>22</t>
  </si>
  <si>
    <t>94%</t>
  </si>
  <si>
    <t>AVERAGE</t>
  </si>
  <si>
    <t>Accuracy</t>
  </si>
  <si>
    <t>Needs training</t>
  </si>
  <si>
    <t>48</t>
  </si>
  <si>
    <t>17</t>
  </si>
  <si>
    <t>99%</t>
  </si>
  <si>
    <t>Star performer</t>
  </si>
  <si>
    <t>INVENTORY MISMATCH TRACKING</t>
  </si>
  <si>
    <t>Mismatch ID</t>
  </si>
  <si>
    <t>Date Discovered</t>
  </si>
  <si>
    <t>System Count</t>
  </si>
  <si>
    <t>Physical Count</t>
  </si>
  <si>
    <t>Variance</t>
  </si>
  <si>
    <t>Root Cause</t>
  </si>
  <si>
    <t>Resolution</t>
  </si>
  <si>
    <t>MIS-001</t>
  </si>
  <si>
    <t>498</t>
  </si>
  <si>
    <t>-2</t>
  </si>
  <si>
    <t>Picking error</t>
  </si>
  <si>
    <t>System updated</t>
  </si>
  <si>
    <t>RESOLVED</t>
  </si>
  <si>
    <t>MIS-002</t>
  </si>
  <si>
    <t>SKU-1005</t>
  </si>
  <si>
    <t>Widget E</t>
  </si>
  <si>
    <t>200</t>
  </si>
  <si>
    <t>205</t>
  </si>
  <si>
    <t>+5</t>
  </si>
  <si>
    <t>Receiving error</t>
  </si>
  <si>
    <t>Under investigation</t>
  </si>
  <si>
    <t>MIS-003</t>
  </si>
  <si>
    <t>SKU-1008</t>
  </si>
  <si>
    <t>Widget H</t>
  </si>
  <si>
    <t>148</t>
  </si>
  <si>
    <t>Unknown</t>
  </si>
  <si>
    <t>Investigating</t>
  </si>
  <si>
    <t>OPEN</t>
  </si>
  <si>
    <t>SYSTEM ERRORS LOG</t>
  </si>
  <si>
    <t>Error ID</t>
  </si>
  <si>
    <t>System/Module</t>
  </si>
  <si>
    <t>Error Type</t>
  </si>
  <si>
    <t>Severity</t>
  </si>
  <si>
    <t>Description</t>
  </si>
  <si>
    <t>Impact</t>
  </si>
  <si>
    <t>Resolved By</t>
  </si>
  <si>
    <t>ERR-001</t>
  </si>
  <si>
    <t>WMS</t>
  </si>
  <si>
    <t>Database Connection</t>
  </si>
  <si>
    <t>HIGH</t>
  </si>
  <si>
    <t>Connection timeout</t>
  </si>
  <si>
    <t>Picking delayed 5 mins</t>
  </si>
  <si>
    <t>Server restarted</t>
  </si>
  <si>
    <t>IT Team</t>
  </si>
  <si>
    <t>ERR-002</t>
  </si>
  <si>
    <t>Barcode Scanner</t>
  </si>
  <si>
    <t>Hardware</t>
  </si>
  <si>
    <t>MEDIUM</t>
  </si>
  <si>
    <t>Scanner not reading</t>
  </si>
  <si>
    <t>Manual entry required</t>
  </si>
  <si>
    <t>Scanner replaced</t>
  </si>
  <si>
    <t>ERR-003</t>
  </si>
  <si>
    <t>Packing System</t>
  </si>
  <si>
    <t>Software Bug</t>
  </si>
  <si>
    <t>LOW</t>
  </si>
  <si>
    <t>Print label delay</t>
  </si>
  <si>
    <t>Minor slowdown</t>
  </si>
  <si>
    <t>INSIGHTS &amp; ANALYTICS</t>
  </si>
  <si>
    <t>EXPECTED OUTCOMES</t>
  </si>
  <si>
    <t>✓ People's Performance Improvement</t>
  </si>
  <si>
    <t>Track individual and team metrics to identify training needs and improvement areas</t>
  </si>
  <si>
    <t>✓ SLA Met Continuously</t>
  </si>
  <si>
    <t>Monitor service level agreements and ensure consistent compliance</t>
  </si>
  <si>
    <t>✓ Operations Optimised</t>
  </si>
  <si>
    <t>Analyze bottlenecks and streamline processes for efficiency</t>
  </si>
  <si>
    <t>KEY INSIGHTS</t>
  </si>
  <si>
    <t>Wave Completion</t>
  </si>
  <si>
    <t>Monitor waves completing within 1 hour target. Identify patterns of delays.</t>
  </si>
  <si>
    <t>Training Effectiveness</t>
  </si>
  <si>
    <t>Track training completion and correlate with performance improvements.</t>
  </si>
  <si>
    <t>Replenishment Speed</t>
  </si>
  <si>
    <t>Analyze stock replenishment times to reduce picking delays.</t>
  </si>
  <si>
    <t>Quality Coverage</t>
  </si>
  <si>
    <t>Ensure &gt;5% quality audit coverage and track defect rates.</t>
  </si>
  <si>
    <t>Employee Productivity</t>
  </si>
  <si>
    <t>Monitor picking/packing rates and identify top performers for recognition.</t>
  </si>
  <si>
    <t>Error Patterns</t>
  </si>
  <si>
    <t>Track system errors and inventory mismatches to prevent recurrence.</t>
  </si>
  <si>
    <t>Customer Satisfaction</t>
  </si>
  <si>
    <t>Fast response to Bash queries improves customer satisfaction.</t>
  </si>
  <si>
    <t>RECOMMENDED ACTIONS</t>
  </si>
  <si>
    <t>1. Daily review of dashboard KPIs to catch issues early</t>
  </si>
  <si>
    <t>2. Weekly analysis of employee performance trends</t>
  </si>
  <si>
    <t>3. Immediate investigation of waves not completing within 1 hour</t>
  </si>
  <si>
    <t>4. Root cause analysis for stock replenishment delays</t>
  </si>
  <si>
    <t>5. Monthly review of quality audit coverage and effectiveness</t>
  </si>
  <si>
    <t>6. Proactive training for employees showing performance gaps</t>
  </si>
  <si>
    <t>7. Quick resolution of inventory mismatches to maintain accuracy</t>
  </si>
  <si>
    <t>8. Regular system health checks to minimize errors</t>
  </si>
</sst>
</file>

<file path=xl/styles.xml><?xml version="1.0" encoding="utf-8"?>
<styleSheet xmlns="http://schemas.openxmlformats.org/spreadsheetml/2006/main">
  <fonts count="4">
    <font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i/>
      <sz val="10"/>
      <color rgb="FF666666"/>
      <name val="Calibri"/>
      <family val="2"/>
      <scheme val="minor"/>
    </font>
    <font>
      <b/>
      <sz val="11"/>
      <color rgb="FFFFFFFF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D9E1F2"/>
        <bgColor indexed="64"/>
      </patternFill>
    </fill>
    <fill>
      <patternFill patternType="solid">
        <fgColor rgb="FF4472C4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4">
    <xf numFmtId="0" fontId="0" fillId="0" borderId="0" xfId="0"/>
    <xf numFmtId="0" fontId="1" fillId="2" borderId="0" xfId="0" applyFont="1" applyFill="1" applyAlignment="1">
      <alignment horizontal="left"/>
    </xf>
    <xf numFmtId="0" fontId="2" fillId="0" borderId="0" xfId="0" applyFont="1"/>
    <xf numFmtId="0" fontId="3" fillId="3" borderId="1" xfId="0" applyFont="1" applyFill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
<Relationships xmlns="http://schemas.openxmlformats.org/package/2006/relationships"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Relationship Id="rId9" Type="http://schemas.openxmlformats.org/officeDocument/2006/relationships/worksheet" Target="worksheets/sheet9.xml"/><Relationship Id="rId10" Type="http://schemas.openxmlformats.org/officeDocument/2006/relationships/worksheet" Target="worksheets/sheet10.xml"/><Relationship Id="rId11" Type="http://schemas.openxmlformats.org/officeDocument/2006/relationships/worksheet" Target="worksheets/sheet11.xml"/><Relationship Id="rId12" Type="http://schemas.openxmlformats.org/officeDocument/2006/relationships/worksheet" Target="worksheets/sheet12.xml"/><Relationship Id="rId13" Type="http://schemas.openxmlformats.org/officeDocument/2006/relationships/theme" Target="theme/theme1.xml"/><Relationship Id="rId14" Type="http://schemas.openxmlformats.org/officeDocument/2006/relationships/styles" Target="styles.xml"/><Relationship Id="rId15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>
  <dimension ref="A1:E25"/>
  <sheetViews>
    <sheetView tabSelected="1" workbookViewId="0"/>
  </sheetViews>
  <sheetFormatPr defaultRowHeight="15"/>
  <cols>
    <col min="1" max="1" width="45.7109375" customWidth="1"/>
    <col min="2" max="3" width="15.7109375" customWidth="1"/>
    <col min="4" max="5" width="20.7109375" customWidth="1"/>
  </cols>
  <sheetData>
    <row r="1" spans="1:5">
      <c r="A1" s="1" t="s">
        <v>0</v>
      </c>
    </row>
    <row r="2" spans="1:5">
      <c r="A2" s="2" t="s">
        <v>1</v>
      </c>
    </row>
    <row r="4" spans="1:5">
      <c r="A4" t="s">
        <v>2</v>
      </c>
    </row>
    <row r="5" spans="1:5">
      <c r="A5" t="s">
        <v>3</v>
      </c>
      <c r="B5" t="s">
        <v>4</v>
      </c>
      <c r="C5" t="s">
        <v>5</v>
      </c>
      <c r="D5" t="s">
        <v>6</v>
      </c>
      <c r="E5" t="s">
        <v>7</v>
      </c>
    </row>
    <row r="6" spans="1:5">
      <c r="A6" t="s">
        <v>8</v>
      </c>
      <c r="B6" t="s">
        <v>9</v>
      </c>
      <c r="C6">
        <f>COUNTA('Wave Tracking'!A:A)-1</f>
        <v>0</v>
      </c>
      <c r="E6" t="s">
        <v>10</v>
      </c>
    </row>
    <row r="7" spans="1:5">
      <c r="A7" t="s">
        <v>11</v>
      </c>
      <c r="B7" t="s">
        <v>9</v>
      </c>
      <c r="C7">
        <f>COUNTA('Employee Training'!A:A)-1</f>
        <v>0</v>
      </c>
      <c r="E7" t="s">
        <v>10</v>
      </c>
    </row>
    <row r="8" spans="1:5">
      <c r="A8" t="s">
        <v>12</v>
      </c>
      <c r="B8" t="s">
        <v>13</v>
      </c>
      <c r="C8">
        <f>COUNTA('Picking Tasks'!A:A)-1</f>
        <v>0</v>
      </c>
      <c r="E8" t="s">
        <v>10</v>
      </c>
    </row>
    <row r="9" spans="1:5">
      <c r="A9" t="s">
        <v>14</v>
      </c>
      <c r="B9" t="s">
        <v>15</v>
      </c>
      <c r="C9">
        <f>COUNTA('Quality Audit'!A:A)-1</f>
        <v>0</v>
      </c>
      <c r="E9" t="s">
        <v>10</v>
      </c>
    </row>
    <row r="10" spans="1:5">
      <c r="A10" t="s">
        <v>16</v>
      </c>
      <c r="B10" t="s">
        <v>17</v>
      </c>
      <c r="C10">
        <f>COUNTA('System Errors'!A:A)-1</f>
        <v>0</v>
      </c>
      <c r="E10" t="s">
        <v>10</v>
      </c>
    </row>
    <row r="11" spans="1:5">
      <c r="A11" t="s">
        <v>18</v>
      </c>
      <c r="B11" t="s">
        <v>17</v>
      </c>
      <c r="C11">
        <f>COUNTA('Inventory Mismatch'!A:A)-1</f>
        <v>0</v>
      </c>
      <c r="E11" t="s">
        <v>10</v>
      </c>
    </row>
    <row r="12" spans="1:5">
      <c r="A12" t="s">
        <v>19</v>
      </c>
      <c r="B12" t="s">
        <v>20</v>
      </c>
      <c r="C12" t="s">
        <v>21</v>
      </c>
      <c r="D12" t="s">
        <v>22</v>
      </c>
      <c r="E12" t="s">
        <v>10</v>
      </c>
    </row>
    <row r="15" spans="1:5">
      <c r="A15" t="s">
        <v>23</v>
      </c>
    </row>
    <row r="16" spans="1:5">
      <c r="A16" t="s">
        <v>24</v>
      </c>
    </row>
    <row r="17" spans="1:1">
      <c r="A17" t="s">
        <v>25</v>
      </c>
    </row>
    <row r="18" spans="1:1">
      <c r="A18" t="s">
        <v>26</v>
      </c>
    </row>
    <row r="19" spans="1:1">
      <c r="A19" t="s">
        <v>27</v>
      </c>
    </row>
    <row r="20" spans="1:1">
      <c r="A20" t="s">
        <v>28</v>
      </c>
    </row>
    <row r="21" spans="1:1">
      <c r="A21" t="s">
        <v>29</v>
      </c>
    </row>
    <row r="22" spans="1:1">
      <c r="A22" t="s">
        <v>30</v>
      </c>
    </row>
    <row r="23" spans="1:1">
      <c r="A23" t="s">
        <v>31</v>
      </c>
    </row>
    <row r="24" spans="1:1">
      <c r="A24" t="s">
        <v>32</v>
      </c>
    </row>
    <row r="25" spans="1:1">
      <c r="A25" t="s">
        <v>33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>
  <dimension ref="A1:J5"/>
  <sheetViews>
    <sheetView workbookViewId="0">
      <pane ySplit="1" topLeftCell="A2" activePane="bottomLeft" state="frozen"/>
      <selection pane="bottomLeft"/>
    </sheetView>
  </sheetViews>
  <sheetFormatPr defaultRowHeight="15"/>
  <cols>
    <col min="1" max="2" width="12.7109375" customWidth="1"/>
    <col min="3" max="4" width="20.7109375" customWidth="1"/>
    <col min="5" max="7" width="25.7109375" customWidth="1"/>
    <col min="8" max="8" width="30.7109375" customWidth="1"/>
  </cols>
  <sheetData>
    <row r="1" spans="1:10">
      <c r="A1" s="3" t="s">
        <v>34</v>
      </c>
    </row>
    <row r="2" spans="1:10">
      <c r="A2" t="s">
        <v>35</v>
      </c>
      <c r="B2" t="s">
        <v>36</v>
      </c>
      <c r="C2" t="s">
        <v>37</v>
      </c>
      <c r="D2" t="s">
        <v>38</v>
      </c>
      <c r="E2" t="s">
        <v>39</v>
      </c>
      <c r="F2" t="s">
        <v>40</v>
      </c>
      <c r="G2" t="s">
        <v>6</v>
      </c>
      <c r="H2" t="s">
        <v>41</v>
      </c>
      <c r="I2" t="s">
        <v>42</v>
      </c>
      <c r="J2" t="s">
        <v>43</v>
      </c>
    </row>
    <row r="3" spans="1:10">
      <c r="A3" t="s">
        <v>44</v>
      </c>
      <c r="B3" t="s">
        <v>10</v>
      </c>
      <c r="C3" t="s">
        <v>45</v>
      </c>
      <c r="D3" t="s">
        <v>46</v>
      </c>
      <c r="E3" t="s">
        <v>47</v>
      </c>
      <c r="F3" t="s">
        <v>48</v>
      </c>
      <c r="G3" t="s">
        <v>49</v>
      </c>
      <c r="H3" t="s">
        <v>50</v>
      </c>
      <c r="I3" t="s">
        <v>51</v>
      </c>
      <c r="J3" t="s">
        <v>52</v>
      </c>
    </row>
    <row r="4" spans="1:10">
      <c r="A4" t="s">
        <v>53</v>
      </c>
      <c r="B4" t="s">
        <v>10</v>
      </c>
      <c r="C4" t="s">
        <v>54</v>
      </c>
      <c r="D4" t="s">
        <v>55</v>
      </c>
      <c r="E4" t="s">
        <v>56</v>
      </c>
      <c r="F4" t="s">
        <v>57</v>
      </c>
      <c r="G4" t="s">
        <v>49</v>
      </c>
      <c r="H4" t="s">
        <v>58</v>
      </c>
      <c r="I4" t="s">
        <v>59</v>
      </c>
      <c r="J4" t="s">
        <v>60</v>
      </c>
    </row>
    <row r="5" spans="1:10">
      <c r="A5" t="s">
        <v>61</v>
      </c>
      <c r="B5" t="s">
        <v>10</v>
      </c>
      <c r="C5" t="s">
        <v>62</v>
      </c>
      <c r="D5" t="s">
        <v>63</v>
      </c>
      <c r="E5" t="s">
        <v>64</v>
      </c>
      <c r="F5" t="s">
        <v>65</v>
      </c>
      <c r="G5" t="s">
        <v>66</v>
      </c>
      <c r="H5" t="s">
        <v>67</v>
      </c>
      <c r="I5" t="s">
        <v>51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dimension ref="A1:I5"/>
  <sheetViews>
    <sheetView workbookViewId="0">
      <pane ySplit="1" topLeftCell="A2" activePane="bottomLeft" state="frozen"/>
      <selection pane="bottomLeft"/>
    </sheetView>
  </sheetViews>
  <sheetFormatPr defaultRowHeight="15"/>
  <cols>
    <col min="1" max="26" width="14.7109375" customWidth="1"/>
  </cols>
  <sheetData>
    <row r="1" spans="1:9">
      <c r="A1" s="3" t="s">
        <v>68</v>
      </c>
    </row>
    <row r="2" spans="1:9">
      <c r="A2" t="s">
        <v>69</v>
      </c>
      <c r="B2" t="s">
        <v>70</v>
      </c>
      <c r="C2" t="s">
        <v>71</v>
      </c>
      <c r="D2" t="s">
        <v>72</v>
      </c>
      <c r="E2" t="s">
        <v>73</v>
      </c>
      <c r="F2" t="s">
        <v>6</v>
      </c>
      <c r="G2" t="s">
        <v>74</v>
      </c>
      <c r="H2" t="s">
        <v>75</v>
      </c>
      <c r="I2" t="s">
        <v>76</v>
      </c>
    </row>
    <row r="3" spans="1:9">
      <c r="A3" t="s">
        <v>77</v>
      </c>
      <c r="B3" t="s">
        <v>78</v>
      </c>
      <c r="C3" t="s">
        <v>79</v>
      </c>
      <c r="D3" t="s">
        <v>80</v>
      </c>
      <c r="E3" t="s">
        <v>81</v>
      </c>
      <c r="F3" t="s">
        <v>82</v>
      </c>
      <c r="G3" t="s">
        <v>83</v>
      </c>
      <c r="H3" t="s">
        <v>84</v>
      </c>
      <c r="I3" t="s">
        <v>85</v>
      </c>
    </row>
    <row r="4" spans="1:9">
      <c r="A4" t="s">
        <v>86</v>
      </c>
      <c r="B4" t="s">
        <v>78</v>
      </c>
      <c r="C4" t="s">
        <v>80</v>
      </c>
      <c r="D4" t="s">
        <v>87</v>
      </c>
      <c r="E4" t="s">
        <v>88</v>
      </c>
      <c r="F4" t="s">
        <v>82</v>
      </c>
      <c r="G4" t="s">
        <v>89</v>
      </c>
      <c r="H4" t="s">
        <v>90</v>
      </c>
      <c r="I4" t="s">
        <v>91</v>
      </c>
    </row>
    <row r="5" spans="1:9">
      <c r="A5" t="s">
        <v>92</v>
      </c>
      <c r="B5" t="s">
        <v>78</v>
      </c>
      <c r="C5" t="s">
        <v>87</v>
      </c>
      <c r="D5" t="s">
        <v>93</v>
      </c>
      <c r="F5" t="s">
        <v>66</v>
      </c>
      <c r="G5" t="s">
        <v>94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>
  <dimension ref="A1:J6"/>
  <sheetViews>
    <sheetView workbookViewId="0">
      <pane ySplit="1" topLeftCell="A2" activePane="bottomLeft" state="frozen"/>
      <selection pane="bottomLeft"/>
    </sheetView>
  </sheetViews>
  <sheetFormatPr defaultRowHeight="15"/>
  <cols>
    <col min="1" max="26" width="14.7109375" customWidth="1"/>
  </cols>
  <sheetData>
    <row r="1" spans="1:10">
      <c r="A1" s="3" t="s">
        <v>95</v>
      </c>
    </row>
    <row r="2" spans="1:10">
      <c r="A2" t="s">
        <v>96</v>
      </c>
      <c r="B2" t="s">
        <v>97</v>
      </c>
      <c r="C2" t="s">
        <v>98</v>
      </c>
      <c r="D2" t="s">
        <v>99</v>
      </c>
      <c r="E2" t="s">
        <v>100</v>
      </c>
      <c r="F2" t="s">
        <v>101</v>
      </c>
      <c r="G2" t="s">
        <v>6</v>
      </c>
      <c r="H2" t="s">
        <v>102</v>
      </c>
      <c r="I2" t="s">
        <v>103</v>
      </c>
      <c r="J2" t="s">
        <v>76</v>
      </c>
    </row>
    <row r="3" spans="1:10">
      <c r="A3" t="s">
        <v>104</v>
      </c>
      <c r="B3" t="s">
        <v>105</v>
      </c>
      <c r="C3" t="s">
        <v>106</v>
      </c>
      <c r="D3" t="s">
        <v>107</v>
      </c>
      <c r="E3" t="s">
        <v>108</v>
      </c>
      <c r="F3" t="s">
        <v>108</v>
      </c>
      <c r="G3" t="s">
        <v>82</v>
      </c>
      <c r="H3" t="s">
        <v>13</v>
      </c>
      <c r="I3" t="s">
        <v>109</v>
      </c>
      <c r="J3" t="s">
        <v>110</v>
      </c>
    </row>
    <row r="4" spans="1:10">
      <c r="A4" t="s">
        <v>111</v>
      </c>
      <c r="B4" t="s">
        <v>112</v>
      </c>
      <c r="C4" t="s">
        <v>106</v>
      </c>
      <c r="D4" t="s">
        <v>113</v>
      </c>
      <c r="E4" t="s">
        <v>114</v>
      </c>
      <c r="F4" t="s">
        <v>114</v>
      </c>
      <c r="G4" t="s">
        <v>82</v>
      </c>
      <c r="H4" t="s">
        <v>115</v>
      </c>
      <c r="I4" t="s">
        <v>116</v>
      </c>
      <c r="J4" t="s">
        <v>117</v>
      </c>
    </row>
    <row r="5" spans="1:10">
      <c r="A5" t="s">
        <v>118</v>
      </c>
      <c r="B5" t="s">
        <v>119</v>
      </c>
      <c r="C5" t="s">
        <v>106</v>
      </c>
      <c r="D5" t="s">
        <v>120</v>
      </c>
      <c r="E5" t="s">
        <v>121</v>
      </c>
      <c r="G5" t="s">
        <v>122</v>
      </c>
      <c r="I5" t="s">
        <v>109</v>
      </c>
    </row>
    <row r="6" spans="1:10">
      <c r="A6" t="s">
        <v>123</v>
      </c>
      <c r="B6" t="s">
        <v>124</v>
      </c>
      <c r="C6" t="s">
        <v>125</v>
      </c>
      <c r="D6" t="s">
        <v>126</v>
      </c>
      <c r="E6" t="s">
        <v>127</v>
      </c>
      <c r="F6" t="s">
        <v>127</v>
      </c>
      <c r="G6" t="s">
        <v>82</v>
      </c>
      <c r="H6" t="s">
        <v>128</v>
      </c>
      <c r="I6" t="s">
        <v>129</v>
      </c>
      <c r="J6" t="s">
        <v>130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>
  <dimension ref="A1:K5"/>
  <sheetViews>
    <sheetView workbookViewId="0">
      <pane ySplit="1" topLeftCell="A2" activePane="bottomLeft" state="frozen"/>
      <selection pane="bottomLeft"/>
    </sheetView>
  </sheetViews>
  <sheetFormatPr defaultRowHeight="15"/>
  <cols>
    <col min="1" max="26" width="14.7109375" customWidth="1"/>
  </cols>
  <sheetData>
    <row r="1" spans="1:11">
      <c r="A1" s="3" t="s">
        <v>131</v>
      </c>
    </row>
    <row r="2" spans="1:11">
      <c r="A2" t="s">
        <v>132</v>
      </c>
      <c r="B2" t="s">
        <v>133</v>
      </c>
      <c r="C2" t="s">
        <v>134</v>
      </c>
      <c r="D2" t="s">
        <v>135</v>
      </c>
      <c r="E2" t="s">
        <v>136</v>
      </c>
      <c r="F2" t="s">
        <v>137</v>
      </c>
      <c r="G2" t="s">
        <v>138</v>
      </c>
      <c r="H2" t="s">
        <v>139</v>
      </c>
      <c r="I2" t="s">
        <v>140</v>
      </c>
      <c r="J2" t="s">
        <v>6</v>
      </c>
      <c r="K2" t="s">
        <v>76</v>
      </c>
    </row>
    <row r="3" spans="1:11">
      <c r="A3" t="s">
        <v>141</v>
      </c>
      <c r="B3" t="s">
        <v>142</v>
      </c>
      <c r="C3" t="s">
        <v>143</v>
      </c>
      <c r="D3" t="s">
        <v>144</v>
      </c>
      <c r="E3" t="s">
        <v>145</v>
      </c>
      <c r="F3" t="s">
        <v>146</v>
      </c>
      <c r="G3" t="s">
        <v>147</v>
      </c>
      <c r="H3" t="s">
        <v>148</v>
      </c>
      <c r="I3" t="s">
        <v>149</v>
      </c>
      <c r="J3" t="s">
        <v>82</v>
      </c>
      <c r="K3" t="s">
        <v>85</v>
      </c>
    </row>
    <row r="4" spans="1:11">
      <c r="A4" t="s">
        <v>150</v>
      </c>
      <c r="B4" t="s">
        <v>151</v>
      </c>
      <c r="C4" t="s">
        <v>152</v>
      </c>
      <c r="D4" t="s">
        <v>153</v>
      </c>
      <c r="E4" t="s">
        <v>145</v>
      </c>
      <c r="F4" t="s">
        <v>154</v>
      </c>
      <c r="G4" t="s">
        <v>155</v>
      </c>
      <c r="H4" t="s">
        <v>10</v>
      </c>
      <c r="I4" t="s">
        <v>156</v>
      </c>
      <c r="J4" t="s">
        <v>82</v>
      </c>
      <c r="K4" t="s">
        <v>157</v>
      </c>
    </row>
    <row r="5" spans="1:11">
      <c r="A5" t="s">
        <v>158</v>
      </c>
      <c r="B5" t="s">
        <v>159</v>
      </c>
      <c r="C5" t="s">
        <v>160</v>
      </c>
      <c r="D5" t="s">
        <v>161</v>
      </c>
      <c r="E5" t="s">
        <v>145</v>
      </c>
      <c r="F5" t="s">
        <v>162</v>
      </c>
      <c r="G5" t="s">
        <v>163</v>
      </c>
      <c r="J5" t="s">
        <v>66</v>
      </c>
      <c r="K5" t="s">
        <v>164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>
  <dimension ref="A1:K8"/>
  <sheetViews>
    <sheetView workbookViewId="0">
      <pane ySplit="1" topLeftCell="A2" activePane="bottomLeft" state="frozen"/>
      <selection pane="bottomLeft"/>
    </sheetView>
  </sheetViews>
  <sheetFormatPr defaultRowHeight="15"/>
  <cols>
    <col min="1" max="26" width="14.7109375" customWidth="1"/>
  </cols>
  <sheetData>
    <row r="1" spans="1:11">
      <c r="A1" s="3" t="s">
        <v>165</v>
      </c>
    </row>
    <row r="2" spans="1:11">
      <c r="A2" t="s">
        <v>166</v>
      </c>
      <c r="B2" t="s">
        <v>70</v>
      </c>
      <c r="C2" t="s">
        <v>38</v>
      </c>
      <c r="D2" t="s">
        <v>133</v>
      </c>
      <c r="E2" t="s">
        <v>167</v>
      </c>
      <c r="F2" t="s">
        <v>168</v>
      </c>
      <c r="G2" t="s">
        <v>169</v>
      </c>
      <c r="H2" t="s">
        <v>170</v>
      </c>
      <c r="I2" t="s">
        <v>171</v>
      </c>
      <c r="J2" t="s">
        <v>172</v>
      </c>
      <c r="K2" t="s">
        <v>76</v>
      </c>
    </row>
    <row r="3" spans="1:11">
      <c r="A3" t="s">
        <v>173</v>
      </c>
      <c r="B3" t="s">
        <v>174</v>
      </c>
      <c r="C3">
        <v>1000</v>
      </c>
      <c r="D3" t="s">
        <v>175</v>
      </c>
      <c r="E3">
        <f>COUNTA(A5:A100)</f>
        <v>0</v>
      </c>
      <c r="F3" t="s">
        <v>176</v>
      </c>
      <c r="G3">
        <f>(E3/C3)*100</f>
        <v>0</v>
      </c>
      <c r="H3" t="s">
        <v>177</v>
      </c>
    </row>
    <row r="5" spans="1:11">
      <c r="A5" t="s">
        <v>178</v>
      </c>
      <c r="B5" t="s">
        <v>78</v>
      </c>
      <c r="C5" t="s">
        <v>46</v>
      </c>
      <c r="D5" t="s">
        <v>142</v>
      </c>
      <c r="E5" t="s">
        <v>179</v>
      </c>
      <c r="F5" t="s">
        <v>180</v>
      </c>
      <c r="G5" t="s">
        <v>181</v>
      </c>
      <c r="H5" t="s">
        <v>181</v>
      </c>
      <c r="I5" t="s">
        <v>182</v>
      </c>
      <c r="J5" t="s">
        <v>183</v>
      </c>
    </row>
    <row r="6" spans="1:11">
      <c r="A6" t="s">
        <v>184</v>
      </c>
      <c r="B6" t="s">
        <v>78</v>
      </c>
      <c r="C6" t="s">
        <v>185</v>
      </c>
      <c r="D6" t="s">
        <v>151</v>
      </c>
      <c r="E6" t="s">
        <v>179</v>
      </c>
      <c r="F6" t="s">
        <v>186</v>
      </c>
      <c r="G6" t="s">
        <v>187</v>
      </c>
      <c r="H6" t="s">
        <v>188</v>
      </c>
      <c r="I6" t="s">
        <v>189</v>
      </c>
      <c r="J6" t="s">
        <v>190</v>
      </c>
      <c r="K6" t="s">
        <v>191</v>
      </c>
    </row>
    <row r="7" spans="1:11">
      <c r="A7" t="s">
        <v>192</v>
      </c>
      <c r="B7" t="s">
        <v>78</v>
      </c>
      <c r="C7" t="s">
        <v>193</v>
      </c>
      <c r="D7" t="s">
        <v>159</v>
      </c>
      <c r="E7" t="s">
        <v>179</v>
      </c>
      <c r="F7" t="s">
        <v>180</v>
      </c>
      <c r="G7" t="s">
        <v>181</v>
      </c>
      <c r="H7" t="s">
        <v>181</v>
      </c>
      <c r="I7" t="s">
        <v>182</v>
      </c>
      <c r="J7" t="s">
        <v>183</v>
      </c>
    </row>
    <row r="8" spans="1:11">
      <c r="A8" t="s">
        <v>194</v>
      </c>
      <c r="B8" t="s">
        <v>78</v>
      </c>
      <c r="C8" t="s">
        <v>195</v>
      </c>
      <c r="D8" t="s">
        <v>196</v>
      </c>
      <c r="E8" t="s">
        <v>197</v>
      </c>
      <c r="F8" t="s">
        <v>186</v>
      </c>
      <c r="G8" t="s">
        <v>198</v>
      </c>
      <c r="H8" t="s">
        <v>199</v>
      </c>
      <c r="I8" t="s">
        <v>200</v>
      </c>
      <c r="J8" t="s">
        <v>190</v>
      </c>
      <c r="K8" t="s">
        <v>201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>
  <dimension ref="A1:J6"/>
  <sheetViews>
    <sheetView workbookViewId="0">
      <pane ySplit="1" topLeftCell="A2" activePane="bottomLeft" state="frozen"/>
      <selection pane="bottomLeft"/>
    </sheetView>
  </sheetViews>
  <sheetFormatPr defaultRowHeight="15"/>
  <cols>
    <col min="1" max="26" width="14.7109375" customWidth="1"/>
  </cols>
  <sheetData>
    <row r="1" spans="1:10">
      <c r="A1" s="3" t="s">
        <v>202</v>
      </c>
    </row>
    <row r="2" spans="1:10">
      <c r="A2" t="s">
        <v>203</v>
      </c>
      <c r="B2" t="s">
        <v>69</v>
      </c>
      <c r="C2" t="s">
        <v>38</v>
      </c>
      <c r="D2" t="s">
        <v>204</v>
      </c>
      <c r="E2" t="s">
        <v>71</v>
      </c>
      <c r="F2" t="s">
        <v>205</v>
      </c>
      <c r="G2" t="s">
        <v>206</v>
      </c>
      <c r="H2" t="s">
        <v>207</v>
      </c>
      <c r="I2" t="s">
        <v>6</v>
      </c>
      <c r="J2" t="s">
        <v>76</v>
      </c>
    </row>
    <row r="3" spans="1:10">
      <c r="A3" t="s">
        <v>208</v>
      </c>
      <c r="B3" t="s">
        <v>77</v>
      </c>
      <c r="C3" t="s">
        <v>46</v>
      </c>
      <c r="D3" t="s">
        <v>104</v>
      </c>
      <c r="E3" t="s">
        <v>79</v>
      </c>
      <c r="F3" t="s">
        <v>209</v>
      </c>
      <c r="G3" t="s">
        <v>210</v>
      </c>
      <c r="H3" t="s">
        <v>52</v>
      </c>
      <c r="I3" t="s">
        <v>82</v>
      </c>
    </row>
    <row r="4" spans="1:10">
      <c r="A4" t="s">
        <v>211</v>
      </c>
      <c r="B4" t="s">
        <v>77</v>
      </c>
      <c r="C4" t="s">
        <v>55</v>
      </c>
      <c r="D4" t="s">
        <v>111</v>
      </c>
      <c r="E4" t="s">
        <v>212</v>
      </c>
      <c r="F4" t="s">
        <v>213</v>
      </c>
      <c r="G4" t="s">
        <v>214</v>
      </c>
      <c r="H4" t="s">
        <v>215</v>
      </c>
      <c r="I4" t="s">
        <v>82</v>
      </c>
    </row>
    <row r="5" spans="1:10">
      <c r="A5" t="s">
        <v>216</v>
      </c>
      <c r="B5" t="s">
        <v>86</v>
      </c>
      <c r="C5" t="s">
        <v>63</v>
      </c>
      <c r="D5" t="s">
        <v>104</v>
      </c>
      <c r="E5" t="s">
        <v>80</v>
      </c>
      <c r="F5" t="s">
        <v>217</v>
      </c>
      <c r="G5" t="s">
        <v>218</v>
      </c>
      <c r="H5" t="s">
        <v>219</v>
      </c>
      <c r="I5" t="s">
        <v>82</v>
      </c>
    </row>
    <row r="6" spans="1:10">
      <c r="A6" t="s">
        <v>220</v>
      </c>
      <c r="B6" t="s">
        <v>92</v>
      </c>
      <c r="C6" t="s">
        <v>221</v>
      </c>
      <c r="D6" t="s">
        <v>118</v>
      </c>
      <c r="E6" t="s">
        <v>87</v>
      </c>
      <c r="H6" t="s">
        <v>222</v>
      </c>
      <c r="I6" t="s">
        <v>66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>
  <dimension ref="A1:I9"/>
  <sheetViews>
    <sheetView workbookViewId="0">
      <pane ySplit="1" topLeftCell="A2" activePane="bottomLeft" state="frozen"/>
      <selection pane="bottomLeft"/>
    </sheetView>
  </sheetViews>
  <sheetFormatPr defaultRowHeight="15"/>
  <cols>
    <col min="1" max="26" width="14.7109375" customWidth="1"/>
  </cols>
  <sheetData>
    <row r="1" spans="1:9">
      <c r="A1" s="3" t="s">
        <v>223</v>
      </c>
    </row>
    <row r="2" spans="1:9">
      <c r="A2" t="s">
        <v>70</v>
      </c>
      <c r="B2" t="s">
        <v>224</v>
      </c>
      <c r="C2" t="s">
        <v>225</v>
      </c>
      <c r="D2" t="s">
        <v>226</v>
      </c>
      <c r="E2" t="s">
        <v>227</v>
      </c>
      <c r="F2" t="s">
        <v>228</v>
      </c>
      <c r="G2" t="s">
        <v>229</v>
      </c>
      <c r="H2" t="s">
        <v>230</v>
      </c>
      <c r="I2" t="s">
        <v>76</v>
      </c>
    </row>
    <row r="3" spans="1:9">
      <c r="A3" t="s">
        <v>231</v>
      </c>
      <c r="B3">
        <v>1020</v>
      </c>
      <c r="C3">
        <v>1010</v>
      </c>
      <c r="D3">
        <v>1005</v>
      </c>
      <c r="E3">
        <v>1000</v>
      </c>
      <c r="F3">
        <v>13</v>
      </c>
      <c r="G3">
        <v>5</v>
      </c>
      <c r="H3">
        <v>2.5</v>
      </c>
      <c r="I3" t="s">
        <v>232</v>
      </c>
    </row>
    <row r="4" spans="1:9">
      <c r="A4" t="s">
        <v>233</v>
      </c>
      <c r="B4">
        <v>1010</v>
      </c>
      <c r="C4">
        <v>1000</v>
      </c>
      <c r="D4">
        <v>995</v>
      </c>
      <c r="E4">
        <v>990</v>
      </c>
      <c r="F4">
        <v>14</v>
      </c>
      <c r="G4">
        <v>5</v>
      </c>
      <c r="H4">
        <v>2.5</v>
      </c>
      <c r="I4" t="s">
        <v>232</v>
      </c>
    </row>
    <row r="5" spans="1:9">
      <c r="A5" t="s">
        <v>234</v>
      </c>
      <c r="B5">
        <v>1000</v>
      </c>
      <c r="C5">
        <v>990</v>
      </c>
      <c r="D5">
        <v>985</v>
      </c>
      <c r="E5">
        <v>980</v>
      </c>
      <c r="F5">
        <v>15</v>
      </c>
      <c r="G5">
        <v>5</v>
      </c>
      <c r="H5">
        <v>2.5</v>
      </c>
      <c r="I5" t="s">
        <v>232</v>
      </c>
    </row>
    <row r="6" spans="1:9">
      <c r="A6" t="s">
        <v>235</v>
      </c>
      <c r="B6">
        <v>990</v>
      </c>
      <c r="C6">
        <v>980</v>
      </c>
      <c r="D6">
        <v>975</v>
      </c>
      <c r="E6">
        <v>970</v>
      </c>
      <c r="F6">
        <v>16</v>
      </c>
      <c r="G6">
        <v>5</v>
      </c>
      <c r="H6">
        <v>2.5</v>
      </c>
      <c r="I6" t="s">
        <v>232</v>
      </c>
    </row>
    <row r="7" spans="1:9">
      <c r="A7" t="s">
        <v>236</v>
      </c>
      <c r="B7">
        <v>980</v>
      </c>
      <c r="C7">
        <v>970</v>
      </c>
      <c r="D7">
        <v>965</v>
      </c>
      <c r="E7">
        <v>960</v>
      </c>
      <c r="F7">
        <v>17</v>
      </c>
      <c r="G7">
        <v>5</v>
      </c>
      <c r="H7">
        <v>2.5</v>
      </c>
      <c r="I7" t="s">
        <v>232</v>
      </c>
    </row>
    <row r="8" spans="1:9">
      <c r="A8" t="s">
        <v>237</v>
      </c>
      <c r="B8">
        <v>970</v>
      </c>
      <c r="C8">
        <v>960</v>
      </c>
      <c r="D8">
        <v>955</v>
      </c>
      <c r="E8">
        <v>950</v>
      </c>
      <c r="F8">
        <v>18</v>
      </c>
      <c r="G8">
        <v>5</v>
      </c>
      <c r="H8">
        <v>2.5</v>
      </c>
      <c r="I8" t="s">
        <v>232</v>
      </c>
    </row>
    <row r="9" spans="1:9">
      <c r="A9" t="s">
        <v>238</v>
      </c>
      <c r="B9">
        <v>960</v>
      </c>
      <c r="C9">
        <v>950</v>
      </c>
      <c r="D9">
        <v>945</v>
      </c>
      <c r="E9">
        <v>940</v>
      </c>
      <c r="F9">
        <v>19</v>
      </c>
      <c r="G9">
        <v>5</v>
      </c>
      <c r="H9">
        <v>2.5</v>
      </c>
      <c r="I9" t="s">
        <v>232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>
  <dimension ref="A1:K6"/>
  <sheetViews>
    <sheetView workbookViewId="0">
      <pane ySplit="1" topLeftCell="A2" activePane="bottomLeft" state="frozen"/>
      <selection pane="bottomLeft"/>
    </sheetView>
  </sheetViews>
  <sheetFormatPr defaultRowHeight="15"/>
  <cols>
    <col min="1" max="26" width="14.7109375" customWidth="1"/>
  </cols>
  <sheetData>
    <row r="1" spans="1:11">
      <c r="A1" s="3" t="s">
        <v>239</v>
      </c>
    </row>
    <row r="2" spans="1:11">
      <c r="A2" t="s">
        <v>96</v>
      </c>
      <c r="B2" t="s">
        <v>97</v>
      </c>
      <c r="C2" t="s">
        <v>98</v>
      </c>
      <c r="D2" t="s">
        <v>70</v>
      </c>
      <c r="E2" t="s">
        <v>240</v>
      </c>
      <c r="F2" t="s">
        <v>241</v>
      </c>
      <c r="G2" t="s">
        <v>242</v>
      </c>
      <c r="H2" t="s">
        <v>243</v>
      </c>
      <c r="I2" t="s">
        <v>244</v>
      </c>
      <c r="J2" t="s">
        <v>245</v>
      </c>
      <c r="K2" t="s">
        <v>76</v>
      </c>
    </row>
    <row r="3" spans="1:11">
      <c r="A3" t="s">
        <v>104</v>
      </c>
      <c r="B3" t="s">
        <v>105</v>
      </c>
      <c r="C3" t="s">
        <v>246</v>
      </c>
      <c r="D3" t="s">
        <v>78</v>
      </c>
      <c r="E3" t="s">
        <v>247</v>
      </c>
      <c r="F3" t="s">
        <v>248</v>
      </c>
      <c r="G3" t="s">
        <v>249</v>
      </c>
      <c r="H3" t="s">
        <v>82</v>
      </c>
      <c r="I3" t="s">
        <v>250</v>
      </c>
      <c r="J3" t="s">
        <v>181</v>
      </c>
      <c r="K3" t="s">
        <v>251</v>
      </c>
    </row>
    <row r="4" spans="1:11">
      <c r="A4" t="s">
        <v>111</v>
      </c>
      <c r="B4" t="s">
        <v>112</v>
      </c>
      <c r="C4" t="s">
        <v>246</v>
      </c>
      <c r="D4" t="s">
        <v>78</v>
      </c>
      <c r="E4" t="s">
        <v>252</v>
      </c>
      <c r="F4" t="s">
        <v>214</v>
      </c>
      <c r="G4" t="s">
        <v>253</v>
      </c>
      <c r="H4" t="s">
        <v>82</v>
      </c>
      <c r="I4" t="s">
        <v>254</v>
      </c>
      <c r="J4" t="s">
        <v>255</v>
      </c>
      <c r="K4" t="s">
        <v>256</v>
      </c>
    </row>
    <row r="5" spans="1:11">
      <c r="A5" t="s">
        <v>118</v>
      </c>
      <c r="B5" t="s">
        <v>119</v>
      </c>
      <c r="C5" t="s">
        <v>125</v>
      </c>
      <c r="D5" t="s">
        <v>78</v>
      </c>
      <c r="E5" t="s">
        <v>257</v>
      </c>
      <c r="F5" t="s">
        <v>258</v>
      </c>
      <c r="G5" t="s">
        <v>259</v>
      </c>
      <c r="H5" t="s">
        <v>66</v>
      </c>
      <c r="I5" t="s">
        <v>260</v>
      </c>
      <c r="J5" t="s">
        <v>261</v>
      </c>
      <c r="K5" t="s">
        <v>262</v>
      </c>
    </row>
    <row r="6" spans="1:11">
      <c r="A6" t="s">
        <v>123</v>
      </c>
      <c r="B6" t="s">
        <v>124</v>
      </c>
      <c r="C6" t="s">
        <v>125</v>
      </c>
      <c r="D6" t="s">
        <v>78</v>
      </c>
      <c r="E6" t="s">
        <v>263</v>
      </c>
      <c r="F6" t="s">
        <v>264</v>
      </c>
      <c r="G6" t="s">
        <v>265</v>
      </c>
      <c r="H6" t="s">
        <v>82</v>
      </c>
      <c r="I6" t="s">
        <v>250</v>
      </c>
      <c r="J6" t="s">
        <v>181</v>
      </c>
      <c r="K6" t="s">
        <v>266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>
  <dimension ref="A1:J5"/>
  <sheetViews>
    <sheetView workbookViewId="0">
      <pane ySplit="1" topLeftCell="A2" activePane="bottomLeft" state="frozen"/>
      <selection pane="bottomLeft"/>
    </sheetView>
  </sheetViews>
  <sheetFormatPr defaultRowHeight="15"/>
  <cols>
    <col min="1" max="26" width="14.7109375" customWidth="1"/>
  </cols>
  <sheetData>
    <row r="1" spans="1:10">
      <c r="A1" s="3" t="s">
        <v>267</v>
      </c>
    </row>
    <row r="2" spans="1:10">
      <c r="A2" t="s">
        <v>268</v>
      </c>
      <c r="B2" t="s">
        <v>269</v>
      </c>
      <c r="C2" t="s">
        <v>133</v>
      </c>
      <c r="D2" t="s">
        <v>134</v>
      </c>
      <c r="E2" t="s">
        <v>270</v>
      </c>
      <c r="F2" t="s">
        <v>271</v>
      </c>
      <c r="G2" t="s">
        <v>272</v>
      </c>
      <c r="H2" t="s">
        <v>273</v>
      </c>
      <c r="I2" t="s">
        <v>274</v>
      </c>
      <c r="J2" t="s">
        <v>6</v>
      </c>
    </row>
    <row r="3" spans="1:10">
      <c r="A3" t="s">
        <v>275</v>
      </c>
      <c r="B3" t="s">
        <v>78</v>
      </c>
      <c r="C3" t="s">
        <v>142</v>
      </c>
      <c r="D3" t="s">
        <v>143</v>
      </c>
      <c r="E3" t="s">
        <v>146</v>
      </c>
      <c r="F3" t="s">
        <v>276</v>
      </c>
      <c r="G3" t="s">
        <v>277</v>
      </c>
      <c r="H3" t="s">
        <v>278</v>
      </c>
      <c r="I3" t="s">
        <v>279</v>
      </c>
      <c r="J3" t="s">
        <v>280</v>
      </c>
    </row>
    <row r="4" spans="1:10">
      <c r="A4" t="s">
        <v>281</v>
      </c>
      <c r="B4" t="s">
        <v>78</v>
      </c>
      <c r="C4" t="s">
        <v>282</v>
      </c>
      <c r="D4" t="s">
        <v>283</v>
      </c>
      <c r="E4" t="s">
        <v>284</v>
      </c>
      <c r="F4" t="s">
        <v>285</v>
      </c>
      <c r="G4" t="s">
        <v>286</v>
      </c>
      <c r="H4" t="s">
        <v>287</v>
      </c>
      <c r="I4" t="s">
        <v>288</v>
      </c>
      <c r="J4" t="s">
        <v>66</v>
      </c>
    </row>
    <row r="5" spans="1:10">
      <c r="A5" t="s">
        <v>289</v>
      </c>
      <c r="B5" t="s">
        <v>78</v>
      </c>
      <c r="C5" t="s">
        <v>290</v>
      </c>
      <c r="D5" t="s">
        <v>291</v>
      </c>
      <c r="E5" t="s">
        <v>83</v>
      </c>
      <c r="F5" t="s">
        <v>292</v>
      </c>
      <c r="G5" t="s">
        <v>277</v>
      </c>
      <c r="H5" t="s">
        <v>293</v>
      </c>
      <c r="I5" t="s">
        <v>294</v>
      </c>
      <c r="J5" t="s">
        <v>295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>
  <dimension ref="A1:J5"/>
  <sheetViews>
    <sheetView workbookViewId="0">
      <pane ySplit="1" topLeftCell="A2" activePane="bottomLeft" state="frozen"/>
      <selection pane="bottomLeft"/>
    </sheetView>
  </sheetViews>
  <sheetFormatPr defaultRowHeight="15"/>
  <cols>
    <col min="1" max="26" width="14.7109375" customWidth="1"/>
  </cols>
  <sheetData>
    <row r="1" spans="1:10">
      <c r="A1" s="3" t="s">
        <v>296</v>
      </c>
    </row>
    <row r="2" spans="1:10">
      <c r="A2" t="s">
        <v>297</v>
      </c>
      <c r="B2" t="s">
        <v>36</v>
      </c>
      <c r="C2" t="s">
        <v>298</v>
      </c>
      <c r="D2" t="s">
        <v>299</v>
      </c>
      <c r="E2" t="s">
        <v>300</v>
      </c>
      <c r="F2" t="s">
        <v>301</v>
      </c>
      <c r="G2" t="s">
        <v>302</v>
      </c>
      <c r="H2" t="s">
        <v>274</v>
      </c>
      <c r="I2" t="s">
        <v>303</v>
      </c>
      <c r="J2" t="s">
        <v>6</v>
      </c>
    </row>
    <row r="3" spans="1:10">
      <c r="A3" t="s">
        <v>304</v>
      </c>
      <c r="B3" t="s">
        <v>10</v>
      </c>
      <c r="C3" t="s">
        <v>305</v>
      </c>
      <c r="D3" t="s">
        <v>306</v>
      </c>
      <c r="E3" t="s">
        <v>307</v>
      </c>
      <c r="F3" t="s">
        <v>308</v>
      </c>
      <c r="G3" t="s">
        <v>309</v>
      </c>
      <c r="H3" t="s">
        <v>310</v>
      </c>
      <c r="I3" t="s">
        <v>311</v>
      </c>
      <c r="J3" t="s">
        <v>280</v>
      </c>
    </row>
    <row r="4" spans="1:10">
      <c r="A4" t="s">
        <v>312</v>
      </c>
      <c r="B4" t="s">
        <v>10</v>
      </c>
      <c r="C4" t="s">
        <v>313</v>
      </c>
      <c r="D4" t="s">
        <v>314</v>
      </c>
      <c r="E4" t="s">
        <v>315</v>
      </c>
      <c r="F4" t="s">
        <v>316</v>
      </c>
      <c r="G4" t="s">
        <v>317</v>
      </c>
      <c r="H4" t="s">
        <v>318</v>
      </c>
      <c r="I4" t="s">
        <v>311</v>
      </c>
      <c r="J4" t="s">
        <v>280</v>
      </c>
    </row>
    <row r="5" spans="1:10">
      <c r="A5" t="s">
        <v>319</v>
      </c>
      <c r="B5" t="s">
        <v>10</v>
      </c>
      <c r="C5" t="s">
        <v>320</v>
      </c>
      <c r="D5" t="s">
        <v>321</v>
      </c>
      <c r="E5" t="s">
        <v>322</v>
      </c>
      <c r="F5" t="s">
        <v>323</v>
      </c>
      <c r="G5" t="s">
        <v>324</v>
      </c>
      <c r="H5" t="s">
        <v>294</v>
      </c>
      <c r="I5" t="s">
        <v>311</v>
      </c>
      <c r="J5" t="s">
        <v>295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>
  <dimension ref="A1:B25"/>
  <sheetViews>
    <sheetView workbookViewId="0">
      <pane ySplit="1" topLeftCell="A2" activePane="bottomLeft" state="frozen"/>
      <selection pane="bottomLeft"/>
    </sheetView>
  </sheetViews>
  <sheetFormatPr defaultRowHeight="15"/>
  <cols>
    <col min="1" max="26" width="14.7109375" customWidth="1"/>
  </cols>
  <sheetData>
    <row r="1" spans="1:2">
      <c r="A1" s="3" t="s">
        <v>325</v>
      </c>
    </row>
    <row r="3" spans="1:2">
      <c r="A3" t="s">
        <v>326</v>
      </c>
    </row>
    <row r="4" spans="1:2">
      <c r="A4" t="s">
        <v>327</v>
      </c>
      <c r="B4" t="s">
        <v>328</v>
      </c>
    </row>
    <row r="5" spans="1:2">
      <c r="A5" t="s">
        <v>329</v>
      </c>
      <c r="B5" t="s">
        <v>330</v>
      </c>
    </row>
    <row r="6" spans="1:2">
      <c r="A6" t="s">
        <v>331</v>
      </c>
      <c r="B6" t="s">
        <v>332</v>
      </c>
    </row>
    <row r="8" spans="1:2">
      <c r="A8" t="s">
        <v>333</v>
      </c>
    </row>
    <row r="9" spans="1:2">
      <c r="A9" t="s">
        <v>334</v>
      </c>
      <c r="B9" t="s">
        <v>335</v>
      </c>
    </row>
    <row r="10" spans="1:2">
      <c r="A10" t="s">
        <v>336</v>
      </c>
      <c r="B10" t="s">
        <v>337</v>
      </c>
    </row>
    <row r="11" spans="1:2">
      <c r="A11" t="s">
        <v>338</v>
      </c>
      <c r="B11" t="s">
        <v>339</v>
      </c>
    </row>
    <row r="12" spans="1:2">
      <c r="A12" t="s">
        <v>340</v>
      </c>
      <c r="B12" t="s">
        <v>341</v>
      </c>
    </row>
    <row r="13" spans="1:2">
      <c r="A13" t="s">
        <v>342</v>
      </c>
      <c r="B13" t="s">
        <v>343</v>
      </c>
    </row>
    <row r="14" spans="1:2">
      <c r="A14" t="s">
        <v>344</v>
      </c>
      <c r="B14" t="s">
        <v>345</v>
      </c>
    </row>
    <row r="15" spans="1:2">
      <c r="A15" t="s">
        <v>346</v>
      </c>
      <c r="B15" t="s">
        <v>347</v>
      </c>
    </row>
    <row r="17" spans="1:1">
      <c r="A17" t="s">
        <v>348</v>
      </c>
    </row>
    <row r="18" spans="1:1">
      <c r="A18" t="s">
        <v>349</v>
      </c>
    </row>
    <row r="19" spans="1:1">
      <c r="A19" t="s">
        <v>350</v>
      </c>
    </row>
    <row r="20" spans="1:1">
      <c r="A20" t="s">
        <v>351</v>
      </c>
    </row>
    <row r="21" spans="1:1">
      <c r="A21" t="s">
        <v>352</v>
      </c>
    </row>
    <row r="22" spans="1:1">
      <c r="A22" t="s">
        <v>353</v>
      </c>
    </row>
    <row r="23" spans="1:1">
      <c r="A23" t="s">
        <v>354</v>
      </c>
    </row>
    <row r="24" spans="1:1">
      <c r="A24" t="s">
        <v>355</v>
      </c>
    </row>
    <row r="25" spans="1:1">
      <c r="A25" t="s">
        <v>356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12</vt:i4>
      </vt:variant>
    </vt:vector>
  </HeadingPairs>
  <TitlesOfParts>
    <vt:vector size="12" baseType="lpstr">
      <vt:lpstr>Dashboard</vt:lpstr>
      <vt:lpstr>Bash Queries Response</vt:lpstr>
      <vt:lpstr>Wave Tracking</vt:lpstr>
      <vt:lpstr>Employee Training</vt:lpstr>
      <vt:lpstr>Stock Replenishment</vt:lpstr>
      <vt:lpstr>Quality Audit</vt:lpstr>
      <vt:lpstr>Picking Tasks</vt:lpstr>
      <vt:lpstr>Order Volumes</vt:lpstr>
      <vt:lpstr>Employee Performance</vt:lpstr>
      <vt:lpstr>Inventory Mismatch</vt:lpstr>
      <vt:lpstr>System Errors</vt:lpstr>
      <vt:lpstr>Insights &amp; Analytics</vt:lpstr>
    </vt:vector>
  </TitlesOfParts>
  <Company/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2025-10-06T13:53:00Z</dcterms:created>
  <dcterms:modified xsi:type="dcterms:W3CDTF">2025-10-06T13:53:00Z</dcterms:modified>
</cp:coreProperties>
</file>